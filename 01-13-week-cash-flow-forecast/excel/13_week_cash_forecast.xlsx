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ase Forecast" sheetId="2" state="visible" r:id="rId2"/>
    <sheet xmlns:r="http://schemas.openxmlformats.org/officeDocument/2006/relationships" name="Stress Forecast" sheetId="3" state="visible" r:id="rId3"/>
    <sheet xmlns:r="http://schemas.openxmlformats.org/officeDocument/2006/relationships" name="Raw Invoices" sheetId="4" state="visible" r:id="rId4"/>
    <sheet xmlns:r="http://schemas.openxmlformats.org/officeDocument/2006/relationships" name="Raw Supplier Payments" sheetId="5" state="visible" r:id="rId5"/>
    <sheet xmlns:r="http://schemas.openxmlformats.org/officeDocument/2006/relationships" name="Raw Other Cash Flows" sheetId="6" state="visible" r:id="rId6"/>
    <sheet xmlns:r="http://schemas.openxmlformats.org/officeDocument/2006/relationships" name="Raw Configuration" sheetId="7" state="visible" r:id="rId7"/>
    <sheet xmlns:r="http://schemas.openxmlformats.org/officeDocument/2006/relationships" name="Raw Opening Cash" sheetId="8" state="visible" r:id="rId8"/>
    <sheet xmlns:r="http://schemas.openxmlformats.org/officeDocument/2006/relationships" name="Scenario Comparison" sheetId="9" state="visible" r:id="rId9"/>
    <sheet xmlns:r="http://schemas.openxmlformats.org/officeDocument/2006/relationships" name="Receipts" sheetId="10" state="visible" r:id="rId10"/>
    <sheet xmlns:r="http://schemas.openxmlformats.org/officeDocument/2006/relationships" name="Payments" sheetId="11" state="visible" r:id="rId11"/>
    <sheet xmlns:r="http://schemas.openxmlformats.org/officeDocument/2006/relationships" name="Data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versus Stress Closing Cash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 Comparison'!B1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 Comparison'!$A$2:$A$14</f>
            </numRef>
          </cat>
          <val>
            <numRef>
              <f>'Scenario Comparison'!$B$2:$B$14</f>
            </numRef>
          </val>
        </ser>
        <ser>
          <idx val="1"/>
          <order val="1"/>
          <tx>
            <strRef>
              <f>'Scenario Comparison'!C1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 Comparison'!$A$2:$A$14</f>
            </numRef>
          </cat>
          <val>
            <numRef>
              <f>'Scenario Comparison'!$C$2:$C$14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Forecast" displayName="BaseForecast" ref="A1:G14" headerRowCount="1">
  <autoFilter ref="A1:G14"/>
  <tableColumns count="7">
    <tableColumn id="1" name="scenario"/>
    <tableColumn id="2" name="week_start"/>
    <tableColumn id="3" name="opening_cash"/>
    <tableColumn id="4" name="receipts"/>
    <tableColumn id="5" name="payments"/>
    <tableColumn id="6" name="closing_cash"/>
    <tableColumn id="7" name="minimum_cash_aler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ressForecast" displayName="StressForecast" ref="A1:G14" headerRowCount="1">
  <autoFilter ref="A1:G14"/>
  <tableColumns count="7">
    <tableColumn id="1" name="scenario"/>
    <tableColumn id="2" name="week_start"/>
    <tableColumn id="3" name="opening_cash"/>
    <tableColumn id="4" name="receipts"/>
    <tableColumn id="5" name="payments"/>
    <tableColumn id="6" name="closing_cash"/>
    <tableColumn id="7" name="minimum_cash_aler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awInvoices" displayName="RawInvoices" ref="A1:H10" headerRowCount="1">
  <autoFilter ref="A1:H10"/>
  <tableColumns count="8">
    <tableColumn id="1" name="invoice_id"/>
    <tableColumn id="2" name="customer"/>
    <tableColumn id="3" name="invoice_date"/>
    <tableColumn id="4" name="due_date"/>
    <tableColumn id="5" name="amount"/>
    <tableColumn id="6" name="expected_payment_date"/>
    <tableColumn id="7" name="actual_payment_date"/>
    <tableColumn id="8" name="payment_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awSupplierPayments" displayName="RawSupplierPayments" ref="A1:F7" headerRowCount="1">
  <autoFilter ref="A1:F7"/>
  <tableColumns count="6">
    <tableColumn id="1" name="payment_id"/>
    <tableColumn id="2" name="vendor"/>
    <tableColumn id="3" name="payment_category"/>
    <tableColumn id="4" name="payment_date"/>
    <tableColumn id="5" name="amount"/>
    <tableColumn id="6" name="payment_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awOtherCashFlows" displayName="RawOtherCashFlows" ref="A1:F6" headerRowCount="1">
  <autoFilter ref="A1:F6"/>
  <tableColumns count="6">
    <tableColumn id="1" name="cash_flow_id"/>
    <tableColumn id="2" name="flow_type"/>
    <tableColumn id="3" name="category"/>
    <tableColumn id="4" name="flow_date"/>
    <tableColumn id="5" name="amount"/>
    <tableColumn id="6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awConfiguration" displayName="RawConfiguration" ref="A1:B7" headerRowCount="1">
  <autoFilter ref="A1:B7"/>
  <tableColumns count="2">
    <tableColumn id="1" name="config_key"/>
    <tableColumn id="2" name="config_valu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awOpeningCash" displayName="RawOpeningCash" ref="A1:B2" headerRowCount="1">
  <autoFilter ref="A1:B2"/>
  <tableColumns count="2">
    <tableColumn id="1" name="as_of_date"/>
    <tableColumn id="2" name="opening_cash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eceipts" displayName="Receipts" ref="A1:B14" headerRowCount="1">
  <autoFilter ref="A1:B14"/>
  <tableColumns count="2">
    <tableColumn id="1" name="week_start"/>
    <tableColumn id="2" name="customer_receipt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Payments" displayName="Payments" ref="A1:B14" headerRowCount="1">
  <autoFilter ref="A1:B14"/>
  <tableColumns count="2">
    <tableColumn id="1" name="week_start"/>
    <tableColumn id="2" name="supplier_and_other_paym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13-Week Cash Flow Forecast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Pragati Distribution Pvt Ltd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Forecast Horizon</t>
        </is>
      </c>
      <c r="B4" s="1" t="n">
        <v>13</v>
      </c>
    </row>
    <row r="5">
      <c r="A5" t="inlineStr">
        <is>
          <t>Minimum Cash Threshold</t>
        </is>
      </c>
      <c r="B5" s="2" t="n">
        <v>1000000</v>
      </c>
    </row>
    <row r="6">
      <c r="A6" t="inlineStr">
        <is>
          <t>Stress Scenario</t>
        </is>
      </c>
      <c r="B6" t="inlineStr">
        <is>
          <t>Customers pay 20 days late</t>
        </is>
      </c>
    </row>
    <row r="7"/>
    <row r="8">
      <c r="A8" s="3" t="inlineStr">
        <is>
          <t>Refresh instructions</t>
        </is>
      </c>
    </row>
    <row r="9">
      <c r="A9" t="inlineStr">
        <is>
          <t>Replace files in data/raw, refresh Power Query, then refresh this workbook.</t>
        </is>
      </c>
    </row>
  </sheetData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>
      <c r="A1" s="4" t="inlineStr">
        <is>
          <t>scenario</t>
        </is>
      </c>
      <c r="B1" s="4" t="inlineStr">
        <is>
          <t>week_start</t>
        </is>
      </c>
      <c r="C1" s="4" t="inlineStr">
        <is>
          <t>opening_cash</t>
        </is>
      </c>
      <c r="D1" s="4" t="inlineStr">
        <is>
          <t>receipts</t>
        </is>
      </c>
      <c r="E1" s="4" t="inlineStr">
        <is>
          <t>payments</t>
        </is>
      </c>
      <c r="F1" s="4" t="inlineStr">
        <is>
          <t>closing_cash</t>
        </is>
      </c>
      <c r="G1" s="4" t="inlineStr">
        <is>
          <t>minimum_cash_alert</t>
        </is>
      </c>
    </row>
    <row r="2">
      <c r="A2" t="inlineStr">
        <is>
          <t>Base</t>
        </is>
      </c>
      <c r="B2" t="inlineStr">
        <is>
          <t>2026-01-05</t>
        </is>
      </c>
      <c r="C2" t="inlineStr">
        <is>
          <t>1850000.0</t>
        </is>
      </c>
      <c r="D2" t="inlineStr">
        <is>
          <t>635000.0</t>
        </is>
      </c>
      <c r="E2" t="inlineStr">
        <is>
          <t>300000.0</t>
        </is>
      </c>
      <c r="F2" t="inlineStr">
        <is>
          <t>2185000.0</t>
        </is>
      </c>
      <c r="G2" t="inlineStr">
        <is>
          <t>OK</t>
        </is>
      </c>
    </row>
    <row r="3">
      <c r="A3" t="inlineStr">
        <is>
          <t>Base</t>
        </is>
      </c>
      <c r="B3" t="inlineStr">
        <is>
          <t>2026-01-12</t>
        </is>
      </c>
      <c r="C3" t="inlineStr">
        <is>
          <t>2185000.0</t>
        </is>
      </c>
      <c r="D3" t="inlineStr">
        <is>
          <t>275000.0</t>
        </is>
      </c>
      <c r="E3" t="inlineStr">
        <is>
          <t>65000.0</t>
        </is>
      </c>
      <c r="F3" t="inlineStr">
        <is>
          <t>2395000.0</t>
        </is>
      </c>
      <c r="G3" t="inlineStr">
        <is>
          <t>OK</t>
        </is>
      </c>
    </row>
    <row r="4">
      <c r="A4" t="inlineStr">
        <is>
          <t>Base</t>
        </is>
      </c>
      <c r="B4" t="inlineStr">
        <is>
          <t>2026-01-19</t>
        </is>
      </c>
      <c r="C4" t="inlineStr">
        <is>
          <t>2395000.0</t>
        </is>
      </c>
      <c r="D4" t="inlineStr">
        <is>
          <t>180000.0</t>
        </is>
      </c>
      <c r="E4" t="inlineStr">
        <is>
          <t>125000.0</t>
        </is>
      </c>
      <c r="F4" t="inlineStr">
        <is>
          <t>2450000.0</t>
        </is>
      </c>
      <c r="G4" t="inlineStr">
        <is>
          <t>OK</t>
        </is>
      </c>
    </row>
    <row r="5">
      <c r="A5" t="inlineStr">
        <is>
          <t>Base</t>
        </is>
      </c>
      <c r="B5" t="inlineStr">
        <is>
          <t>2026-01-26</t>
        </is>
      </c>
      <c r="C5" t="inlineStr">
        <is>
          <t>2450000.0</t>
        </is>
      </c>
      <c r="D5" t="inlineStr">
        <is>
          <t>0</t>
        </is>
      </c>
      <c r="E5" t="inlineStr">
        <is>
          <t>320000.0</t>
        </is>
      </c>
      <c r="F5" t="inlineStr">
        <is>
          <t>2130000.0</t>
        </is>
      </c>
      <c r="G5" t="inlineStr">
        <is>
          <t>OK</t>
        </is>
      </c>
    </row>
    <row r="6">
      <c r="A6" t="inlineStr">
        <is>
          <t>Base</t>
        </is>
      </c>
      <c r="B6" t="inlineStr">
        <is>
          <t>2026-02-02</t>
        </is>
      </c>
      <c r="C6" t="inlineStr">
        <is>
          <t>2130000.0</t>
        </is>
      </c>
      <c r="D6" t="inlineStr">
        <is>
          <t>360000.0</t>
        </is>
      </c>
      <c r="E6" t="inlineStr">
        <is>
          <t>185000.0</t>
        </is>
      </c>
      <c r="F6" t="inlineStr">
        <is>
          <t>2305000.0</t>
        </is>
      </c>
      <c r="G6" t="inlineStr">
        <is>
          <t>OK</t>
        </is>
      </c>
    </row>
    <row r="7">
      <c r="A7" t="inlineStr">
        <is>
          <t>Base</t>
        </is>
      </c>
      <c r="B7" t="inlineStr">
        <is>
          <t>2026-02-09</t>
        </is>
      </c>
      <c r="C7" t="inlineStr">
        <is>
          <t>2305000.0</t>
        </is>
      </c>
      <c r="D7" t="inlineStr">
        <is>
          <t>225000.0</t>
        </is>
      </c>
      <c r="E7" t="inlineStr">
        <is>
          <t>165000.0</t>
        </is>
      </c>
      <c r="F7" t="inlineStr">
        <is>
          <t>2365000.0</t>
        </is>
      </c>
      <c r="G7" t="inlineStr">
        <is>
          <t>OK</t>
        </is>
      </c>
    </row>
    <row r="8">
      <c r="A8" t="inlineStr">
        <is>
          <t>Base</t>
        </is>
      </c>
      <c r="B8" t="inlineStr">
        <is>
          <t>2026-02-16</t>
        </is>
      </c>
      <c r="C8" t="inlineStr">
        <is>
          <t>2365000.0</t>
        </is>
      </c>
      <c r="D8" t="inlineStr">
        <is>
          <t>310000.0</t>
        </is>
      </c>
      <c r="E8" t="inlineStr">
        <is>
          <t>140000.0</t>
        </is>
      </c>
      <c r="F8" t="inlineStr">
        <is>
          <t>2535000.0</t>
        </is>
      </c>
      <c r="G8" t="inlineStr">
        <is>
          <t>OK</t>
        </is>
      </c>
    </row>
    <row r="9">
      <c r="A9" t="inlineStr">
        <is>
          <t>Base</t>
        </is>
      </c>
      <c r="B9" t="inlineStr">
        <is>
          <t>2026-02-23</t>
        </is>
      </c>
      <c r="C9" t="inlineStr">
        <is>
          <t>2535000.0</t>
        </is>
      </c>
      <c r="D9" t="inlineStr">
        <is>
          <t>80000.0</t>
        </is>
      </c>
      <c r="E9" t="inlineStr">
        <is>
          <t>0</t>
        </is>
      </c>
      <c r="F9" t="inlineStr">
        <is>
          <t>2615000.0</t>
        </is>
      </c>
      <c r="G9" t="inlineStr">
        <is>
          <t>OK</t>
        </is>
      </c>
    </row>
    <row r="10">
      <c r="A10" t="inlineStr">
        <is>
          <t>Base</t>
        </is>
      </c>
      <c r="B10" t="inlineStr">
        <is>
          <t>2026-03-02</t>
        </is>
      </c>
      <c r="C10" t="inlineStr">
        <is>
          <t>2615000.0</t>
        </is>
      </c>
      <c r="D10" t="inlineStr">
        <is>
          <t>190000.0</t>
        </is>
      </c>
      <c r="E10" t="inlineStr">
        <is>
          <t>0</t>
        </is>
      </c>
      <c r="F10" t="inlineStr">
        <is>
          <t>2805000.0</t>
        </is>
      </c>
      <c r="G10" t="inlineStr">
        <is>
          <t>OK</t>
        </is>
      </c>
    </row>
    <row r="11">
      <c r="A11" t="inlineStr">
        <is>
          <t>Base</t>
        </is>
      </c>
      <c r="B11" t="inlineStr">
        <is>
          <t>2026-03-09</t>
        </is>
      </c>
      <c r="C11" t="inlineStr">
        <is>
          <t>2805000.0</t>
        </is>
      </c>
      <c r="D11" t="inlineStr">
        <is>
          <t>145000.0</t>
        </is>
      </c>
      <c r="E11" t="inlineStr">
        <is>
          <t>0</t>
        </is>
      </c>
      <c r="F11" t="inlineStr">
        <is>
          <t>2950000.0</t>
        </is>
      </c>
      <c r="G11" t="inlineStr">
        <is>
          <t>OK</t>
        </is>
      </c>
    </row>
    <row r="12">
      <c r="A12" t="inlineStr">
        <is>
          <t>Base</t>
        </is>
      </c>
      <c r="B12" t="inlineStr">
        <is>
          <t>2026-03-16</t>
        </is>
      </c>
      <c r="C12" t="inlineStr">
        <is>
          <t>2950000.0</t>
        </is>
      </c>
      <c r="D12" t="inlineStr">
        <is>
          <t>0</t>
        </is>
      </c>
      <c r="E12" t="inlineStr">
        <is>
          <t>0</t>
        </is>
      </c>
      <c r="F12" t="inlineStr">
        <is>
          <t>2950000.0</t>
        </is>
      </c>
      <c r="G12" t="inlineStr">
        <is>
          <t>OK</t>
        </is>
      </c>
    </row>
    <row r="13">
      <c r="A13" t="inlineStr">
        <is>
          <t>Base</t>
        </is>
      </c>
      <c r="B13" t="inlineStr">
        <is>
          <t>2026-03-23</t>
        </is>
      </c>
      <c r="C13" t="inlineStr">
        <is>
          <t>2950000.0</t>
        </is>
      </c>
      <c r="D13" t="inlineStr">
        <is>
          <t>0</t>
        </is>
      </c>
      <c r="E13" t="inlineStr">
        <is>
          <t>0</t>
        </is>
      </c>
      <c r="F13" t="inlineStr">
        <is>
          <t>2950000.0</t>
        </is>
      </c>
      <c r="G13" t="inlineStr">
        <is>
          <t>OK</t>
        </is>
      </c>
    </row>
    <row r="14">
      <c r="A14" t="inlineStr">
        <is>
          <t>Base</t>
        </is>
      </c>
      <c r="B14" t="inlineStr">
        <is>
          <t>2026-03-30</t>
        </is>
      </c>
      <c r="C14" t="inlineStr">
        <is>
          <t>2950000.0</t>
        </is>
      </c>
      <c r="D14" t="inlineStr">
        <is>
          <t>0</t>
        </is>
      </c>
      <c r="E14" t="inlineStr">
        <is>
          <t>0</t>
        </is>
      </c>
      <c r="F14" t="inlineStr">
        <is>
          <t>2950000.0</t>
        </is>
      </c>
      <c r="G14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>
      <c r="A1" s="4" t="inlineStr">
        <is>
          <t>scenario</t>
        </is>
      </c>
      <c r="B1" s="4" t="inlineStr">
        <is>
          <t>week_start</t>
        </is>
      </c>
      <c r="C1" s="4" t="inlineStr">
        <is>
          <t>opening_cash</t>
        </is>
      </c>
      <c r="D1" s="4" t="inlineStr">
        <is>
          <t>receipts</t>
        </is>
      </c>
      <c r="E1" s="4" t="inlineStr">
        <is>
          <t>payments</t>
        </is>
      </c>
      <c r="F1" s="4" t="inlineStr">
        <is>
          <t>closing_cash</t>
        </is>
      </c>
      <c r="G1" s="4" t="inlineStr">
        <is>
          <t>minimum_cash_alert</t>
        </is>
      </c>
    </row>
    <row r="2">
      <c r="A2" t="inlineStr">
        <is>
          <t>Customer_Payments_20_Days_Late</t>
        </is>
      </c>
      <c r="B2" t="inlineStr">
        <is>
          <t>2026-01-05</t>
        </is>
      </c>
      <c r="C2" t="inlineStr">
        <is>
          <t>1850000.0</t>
        </is>
      </c>
      <c r="D2" t="inlineStr">
        <is>
          <t>215000.0</t>
        </is>
      </c>
      <c r="E2" t="inlineStr">
        <is>
          <t>300000.0</t>
        </is>
      </c>
      <c r="F2" t="inlineStr">
        <is>
          <t>1765000.0</t>
        </is>
      </c>
      <c r="G2" t="inlineStr">
        <is>
          <t>OK</t>
        </is>
      </c>
    </row>
    <row r="3">
      <c r="A3" t="inlineStr">
        <is>
          <t>Customer_Payments_20_Days_Late</t>
        </is>
      </c>
      <c r="B3" t="inlineStr">
        <is>
          <t>2026-01-12</t>
        </is>
      </c>
      <c r="C3" t="inlineStr">
        <is>
          <t>1765000.0</t>
        </is>
      </c>
      <c r="D3" t="inlineStr">
        <is>
          <t>275000.0</t>
        </is>
      </c>
      <c r="E3" t="inlineStr">
        <is>
          <t>65000.0</t>
        </is>
      </c>
      <c r="F3" t="inlineStr">
        <is>
          <t>1975000.0</t>
        </is>
      </c>
      <c r="G3" t="inlineStr">
        <is>
          <t>OK</t>
        </is>
      </c>
    </row>
    <row r="4">
      <c r="A4" t="inlineStr">
        <is>
          <t>Customer_Payments_20_Days_Late</t>
        </is>
      </c>
      <c r="B4" t="inlineStr">
        <is>
          <t>2026-01-19</t>
        </is>
      </c>
      <c r="C4" t="inlineStr">
        <is>
          <t>1975000.0</t>
        </is>
      </c>
      <c r="D4" t="inlineStr">
        <is>
          <t>0</t>
        </is>
      </c>
      <c r="E4" t="inlineStr">
        <is>
          <t>125000.0</t>
        </is>
      </c>
      <c r="F4" t="inlineStr">
        <is>
          <t>1850000.0</t>
        </is>
      </c>
      <c r="G4" t="inlineStr">
        <is>
          <t>OK</t>
        </is>
      </c>
    </row>
    <row r="5">
      <c r="A5" t="inlineStr">
        <is>
          <t>Customer_Payments_20_Days_Late</t>
        </is>
      </c>
      <c r="B5" t="inlineStr">
        <is>
          <t>2026-01-26</t>
        </is>
      </c>
      <c r="C5" t="inlineStr">
        <is>
          <t>1850000.0</t>
        </is>
      </c>
      <c r="D5" t="inlineStr">
        <is>
          <t>420000.0</t>
        </is>
      </c>
      <c r="E5" t="inlineStr">
        <is>
          <t>320000.0</t>
        </is>
      </c>
      <c r="F5" t="inlineStr">
        <is>
          <t>1950000.0</t>
        </is>
      </c>
      <c r="G5" t="inlineStr">
        <is>
          <t>OK</t>
        </is>
      </c>
    </row>
    <row r="6">
      <c r="A6" t="inlineStr">
        <is>
          <t>Customer_Payments_20_Days_Late</t>
        </is>
      </c>
      <c r="B6" t="inlineStr">
        <is>
          <t>2026-02-02</t>
        </is>
      </c>
      <c r="C6" t="inlineStr">
        <is>
          <t>1950000.0</t>
        </is>
      </c>
      <c r="D6" t="inlineStr">
        <is>
          <t>0</t>
        </is>
      </c>
      <c r="E6" t="inlineStr">
        <is>
          <t>185000.0</t>
        </is>
      </c>
      <c r="F6" t="inlineStr">
        <is>
          <t>1765000.0</t>
        </is>
      </c>
      <c r="G6" t="inlineStr">
        <is>
          <t>OK</t>
        </is>
      </c>
    </row>
    <row r="7">
      <c r="A7" t="inlineStr">
        <is>
          <t>Customer_Payments_20_Days_Late</t>
        </is>
      </c>
      <c r="B7" t="inlineStr">
        <is>
          <t>2026-02-09</t>
        </is>
      </c>
      <c r="C7" t="inlineStr">
        <is>
          <t>1765000.0</t>
        </is>
      </c>
      <c r="D7" t="inlineStr">
        <is>
          <t>180000.0</t>
        </is>
      </c>
      <c r="E7" t="inlineStr">
        <is>
          <t>165000.0</t>
        </is>
      </c>
      <c r="F7" t="inlineStr">
        <is>
          <t>1780000.0</t>
        </is>
      </c>
      <c r="G7" t="inlineStr">
        <is>
          <t>OK</t>
        </is>
      </c>
    </row>
    <row r="8">
      <c r="A8" t="inlineStr">
        <is>
          <t>Customer_Payments_20_Days_Late</t>
        </is>
      </c>
      <c r="B8" t="inlineStr">
        <is>
          <t>2026-02-16</t>
        </is>
      </c>
      <c r="C8" t="inlineStr">
        <is>
          <t>1780000.0</t>
        </is>
      </c>
      <c r="D8" t="inlineStr">
        <is>
          <t>0</t>
        </is>
      </c>
      <c r="E8" t="inlineStr">
        <is>
          <t>140000.0</t>
        </is>
      </c>
      <c r="F8" t="inlineStr">
        <is>
          <t>1640000.0</t>
        </is>
      </c>
      <c r="G8" t="inlineStr">
        <is>
          <t>OK</t>
        </is>
      </c>
    </row>
    <row r="9">
      <c r="A9" t="inlineStr">
        <is>
          <t>Customer_Payments_20_Days_Late</t>
        </is>
      </c>
      <c r="B9" t="inlineStr">
        <is>
          <t>2026-02-23</t>
        </is>
      </c>
      <c r="C9" t="inlineStr">
        <is>
          <t>1640000.0</t>
        </is>
      </c>
      <c r="D9" t="inlineStr">
        <is>
          <t>440000.0</t>
        </is>
      </c>
      <c r="E9" t="inlineStr">
        <is>
          <t>0</t>
        </is>
      </c>
      <c r="F9" t="inlineStr">
        <is>
          <t>2080000.0</t>
        </is>
      </c>
      <c r="G9" t="inlineStr">
        <is>
          <t>OK</t>
        </is>
      </c>
    </row>
    <row r="10">
      <c r="A10" t="inlineStr">
        <is>
          <t>Customer_Payments_20_Days_Late</t>
        </is>
      </c>
      <c r="B10" t="inlineStr">
        <is>
          <t>2026-03-02</t>
        </is>
      </c>
      <c r="C10" t="inlineStr">
        <is>
          <t>2080000.0</t>
        </is>
      </c>
      <c r="D10" t="inlineStr">
        <is>
          <t>225000.0</t>
        </is>
      </c>
      <c r="E10" t="inlineStr">
        <is>
          <t>0</t>
        </is>
      </c>
      <c r="F10" t="inlineStr">
        <is>
          <t>2305000.0</t>
        </is>
      </c>
      <c r="G10" t="inlineStr">
        <is>
          <t>OK</t>
        </is>
      </c>
    </row>
    <row r="11">
      <c r="A11" t="inlineStr">
        <is>
          <t>Customer_Payments_20_Days_Late</t>
        </is>
      </c>
      <c r="B11" t="inlineStr">
        <is>
          <t>2026-03-09</t>
        </is>
      </c>
      <c r="C11" t="inlineStr">
        <is>
          <t>2305000.0</t>
        </is>
      </c>
      <c r="D11" t="inlineStr">
        <is>
          <t>310000.0</t>
        </is>
      </c>
      <c r="E11" t="inlineStr">
        <is>
          <t>0</t>
        </is>
      </c>
      <c r="F11" t="inlineStr">
        <is>
          <t>2615000.0</t>
        </is>
      </c>
      <c r="G11" t="inlineStr">
        <is>
          <t>OK</t>
        </is>
      </c>
    </row>
    <row r="12">
      <c r="A12" t="inlineStr">
        <is>
          <t>Customer_Payments_20_Days_Late</t>
        </is>
      </c>
      <c r="B12" t="inlineStr">
        <is>
          <t>2026-03-16</t>
        </is>
      </c>
      <c r="C12" t="inlineStr">
        <is>
          <t>2615000.0</t>
        </is>
      </c>
      <c r="D12" t="inlineStr">
        <is>
          <t>0</t>
        </is>
      </c>
      <c r="E12" t="inlineStr">
        <is>
          <t>0</t>
        </is>
      </c>
      <c r="F12" t="inlineStr">
        <is>
          <t>2615000.0</t>
        </is>
      </c>
      <c r="G12" t="inlineStr">
        <is>
          <t>OK</t>
        </is>
      </c>
    </row>
    <row r="13">
      <c r="A13" t="inlineStr">
        <is>
          <t>Customer_Payments_20_Days_Late</t>
        </is>
      </c>
      <c r="B13" t="inlineStr">
        <is>
          <t>2026-03-23</t>
        </is>
      </c>
      <c r="C13" t="inlineStr">
        <is>
          <t>2615000.0</t>
        </is>
      </c>
      <c r="D13" t="inlineStr">
        <is>
          <t>190000.0</t>
        </is>
      </c>
      <c r="E13" t="inlineStr">
        <is>
          <t>0</t>
        </is>
      </c>
      <c r="F13" t="inlineStr">
        <is>
          <t>2805000.0</t>
        </is>
      </c>
      <c r="G13" t="inlineStr">
        <is>
          <t>OK</t>
        </is>
      </c>
    </row>
    <row r="14">
      <c r="A14" t="inlineStr">
        <is>
          <t>Customer_Payments_20_Days_Late</t>
        </is>
      </c>
      <c r="B14" t="inlineStr">
        <is>
          <t>2026-03-30</t>
        </is>
      </c>
      <c r="C14" t="inlineStr">
        <is>
          <t>2805000.0</t>
        </is>
      </c>
      <c r="D14" t="inlineStr">
        <is>
          <t>145000.0</t>
        </is>
      </c>
      <c r="E14" t="inlineStr">
        <is>
          <t>0</t>
        </is>
      </c>
      <c r="F14" t="inlineStr">
        <is>
          <t>2950000.0</t>
        </is>
      </c>
      <c r="G14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8" customWidth="1" min="5" max="5"/>
    <col width="23" customWidth="1" min="6" max="6"/>
    <col width="21" customWidth="1" min="7" max="7"/>
    <col width="16" customWidth="1" min="8" max="8"/>
  </cols>
  <sheetData>
    <row r="1">
      <c r="A1" s="4" t="inlineStr">
        <is>
          <t>invoice_id</t>
        </is>
      </c>
      <c r="B1" s="4" t="inlineStr">
        <is>
          <t>customer</t>
        </is>
      </c>
      <c r="C1" s="4" t="inlineStr">
        <is>
          <t>invoice_date</t>
        </is>
      </c>
      <c r="D1" s="4" t="inlineStr">
        <is>
          <t>due_date</t>
        </is>
      </c>
      <c r="E1" s="4" t="inlineStr">
        <is>
          <t>amount</t>
        </is>
      </c>
      <c r="F1" s="4" t="inlineStr">
        <is>
          <t>expected_payment_date</t>
        </is>
      </c>
      <c r="G1" s="4" t="inlineStr">
        <is>
          <t>actual_payment_date</t>
        </is>
      </c>
      <c r="H1" s="4" t="inlineStr">
        <is>
          <t>payment_status</t>
        </is>
      </c>
    </row>
    <row r="2">
      <c r="A2" t="inlineStr">
        <is>
          <t>INV-1001</t>
        </is>
      </c>
      <c r="B2" t="inlineStr">
        <is>
          <t>Acme Retail</t>
        </is>
      </c>
      <c r="C2" t="inlineStr">
        <is>
          <t>2025-11-15</t>
        </is>
      </c>
      <c r="D2" t="inlineStr">
        <is>
          <t>2026-01-08</t>
        </is>
      </c>
      <c r="E2" t="inlineStr">
        <is>
          <t>420000</t>
        </is>
      </c>
      <c r="F2" t="inlineStr">
        <is>
          <t>2026-01-08</t>
        </is>
      </c>
      <c r="G2" t="inlineStr"/>
      <c r="H2" t="inlineStr">
        <is>
          <t>Open</t>
        </is>
      </c>
    </row>
    <row r="3">
      <c r="A3" t="inlineStr">
        <is>
          <t>INV-1002</t>
        </is>
      </c>
      <c r="B3" t="inlineStr">
        <is>
          <t>Beacon Foods</t>
        </is>
      </c>
      <c r="C3" t="inlineStr">
        <is>
          <t>2025-12-01</t>
        </is>
      </c>
      <c r="D3" t="inlineStr">
        <is>
          <t>2026-01-15</t>
        </is>
      </c>
      <c r="E3" t="inlineStr">
        <is>
          <t>275000</t>
        </is>
      </c>
      <c r="F3" t="inlineStr">
        <is>
          <t>2026-01-15</t>
        </is>
      </c>
      <c r="G3" t="inlineStr">
        <is>
          <t>2026-01-12</t>
        </is>
      </c>
      <c r="H3" t="inlineStr">
        <is>
          <t>Paid</t>
        </is>
      </c>
    </row>
    <row r="4">
      <c r="A4" t="inlineStr">
        <is>
          <t>INV-1003</t>
        </is>
      </c>
      <c r="B4" t="inlineStr">
        <is>
          <t>CityMart</t>
        </is>
      </c>
      <c r="C4" t="inlineStr">
        <is>
          <t>2025-12-10</t>
        </is>
      </c>
      <c r="D4" t="inlineStr">
        <is>
          <t>2026-01-22</t>
        </is>
      </c>
      <c r="E4" t="inlineStr">
        <is>
          <t>180000</t>
        </is>
      </c>
      <c r="F4" t="inlineStr">
        <is>
          <t>2026-01-22</t>
        </is>
      </c>
      <c r="G4" t="inlineStr"/>
      <c r="H4" t="inlineStr">
        <is>
          <t>Open</t>
        </is>
      </c>
    </row>
    <row r="5">
      <c r="A5" t="inlineStr">
        <is>
          <t>INV-1004</t>
        </is>
      </c>
      <c r="B5" t="inlineStr">
        <is>
          <t>Delta Health</t>
        </is>
      </c>
      <c r="C5" t="inlineStr">
        <is>
          <t>2025-12-18</t>
        </is>
      </c>
      <c r="D5" t="inlineStr">
        <is>
          <t>2026-02-05</t>
        </is>
      </c>
      <c r="E5" t="inlineStr">
        <is>
          <t>360000</t>
        </is>
      </c>
      <c r="F5" t="inlineStr">
        <is>
          <t>2026-02-05</t>
        </is>
      </c>
      <c r="G5" t="inlineStr"/>
      <c r="H5" t="inlineStr">
        <is>
          <t>Open</t>
        </is>
      </c>
    </row>
    <row r="6">
      <c r="A6" t="inlineStr">
        <is>
          <t>INV-1005</t>
        </is>
      </c>
      <c r="B6" t="inlineStr">
        <is>
          <t>Evergreen Hotels</t>
        </is>
      </c>
      <c r="C6" t="inlineStr">
        <is>
          <t>2025-12-22</t>
        </is>
      </c>
      <c r="D6" t="inlineStr">
        <is>
          <t>2026-02-12</t>
        </is>
      </c>
      <c r="E6" t="inlineStr">
        <is>
          <t>225000</t>
        </is>
      </c>
      <c r="F6" t="inlineStr">
        <is>
          <t>2026-02-12</t>
        </is>
      </c>
      <c r="G6" t="inlineStr"/>
      <c r="H6" t="inlineStr">
        <is>
          <t>Open</t>
        </is>
      </c>
    </row>
    <row r="7">
      <c r="A7" t="inlineStr">
        <is>
          <t>INV-1006</t>
        </is>
      </c>
      <c r="B7" t="inlineStr">
        <is>
          <t>Acme Retail</t>
        </is>
      </c>
      <c r="C7" t="inlineStr">
        <is>
          <t>2026-01-02</t>
        </is>
      </c>
      <c r="D7" t="inlineStr">
        <is>
          <t>2026-02-19</t>
        </is>
      </c>
      <c r="E7" t="inlineStr">
        <is>
          <t>310000</t>
        </is>
      </c>
      <c r="F7" t="inlineStr">
        <is>
          <t>2026-02-19</t>
        </is>
      </c>
      <c r="G7" t="inlineStr"/>
      <c r="H7" t="inlineStr">
        <is>
          <t>Open</t>
        </is>
      </c>
    </row>
    <row r="8">
      <c r="A8" t="inlineStr">
        <is>
          <t>INV-1007</t>
        </is>
      </c>
      <c r="B8" t="inlineStr">
        <is>
          <t>Beacon Foods</t>
        </is>
      </c>
      <c r="C8" t="inlineStr">
        <is>
          <t>2026-01-03</t>
        </is>
      </c>
      <c r="D8" t="inlineStr">
        <is>
          <t>2026-03-05</t>
        </is>
      </c>
      <c r="E8" t="inlineStr">
        <is>
          <t>190000</t>
        </is>
      </c>
      <c r="F8" t="inlineStr">
        <is>
          <t>2026-03-05</t>
        </is>
      </c>
      <c r="G8" t="inlineStr"/>
      <c r="H8" t="inlineStr">
        <is>
          <t>Open</t>
        </is>
      </c>
    </row>
    <row r="9">
      <c r="A9" t="inlineStr">
        <is>
          <t>INV-1008</t>
        </is>
      </c>
      <c r="B9" t="inlineStr">
        <is>
          <t>CityMart</t>
        </is>
      </c>
      <c r="C9" t="inlineStr">
        <is>
          <t>2026-01-04</t>
        </is>
      </c>
      <c r="D9" t="inlineStr">
        <is>
          <t>2026-03-12</t>
        </is>
      </c>
      <c r="E9" t="inlineStr">
        <is>
          <t>145000</t>
        </is>
      </c>
      <c r="F9" t="inlineStr">
        <is>
          <t>2026-03-12</t>
        </is>
      </c>
      <c r="G9" t="inlineStr"/>
      <c r="H9" t="inlineStr">
        <is>
          <t>Open</t>
        </is>
      </c>
    </row>
    <row r="10">
      <c r="A10" t="inlineStr">
        <is>
          <t>INV-1009</t>
        </is>
      </c>
      <c r="B10" t="inlineStr">
        <is>
          <t>Delta Health</t>
        </is>
      </c>
      <c r="C10" t="inlineStr">
        <is>
          <t>2025-12-01</t>
        </is>
      </c>
      <c r="D10" t="inlineStr">
        <is>
          <t>2025-12-20</t>
        </is>
      </c>
      <c r="E10" t="inlineStr">
        <is>
          <t>95000</t>
        </is>
      </c>
      <c r="F10" t="inlineStr">
        <is>
          <t>2025-12-20</t>
        </is>
      </c>
      <c r="G10" t="inlineStr"/>
      <c r="H10" t="inlineStr">
        <is>
          <t>Overdue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4" customWidth="1" min="4" max="4"/>
    <col width="8" customWidth="1" min="5" max="5"/>
    <col width="16" customWidth="1" min="6" max="6"/>
  </cols>
  <sheetData>
    <row r="1">
      <c r="A1" s="4" t="inlineStr">
        <is>
          <t>payment_id</t>
        </is>
      </c>
      <c r="B1" s="4" t="inlineStr">
        <is>
          <t>vendor</t>
        </is>
      </c>
      <c r="C1" s="4" t="inlineStr">
        <is>
          <t>payment_category</t>
        </is>
      </c>
      <c r="D1" s="4" t="inlineStr">
        <is>
          <t>payment_date</t>
        </is>
      </c>
      <c r="E1" s="4" t="inlineStr">
        <is>
          <t>amount</t>
        </is>
      </c>
      <c r="F1" s="4" t="inlineStr">
        <is>
          <t>payment_status</t>
        </is>
      </c>
    </row>
    <row r="2">
      <c r="A2" t="inlineStr">
        <is>
          <t>PAY-2001</t>
        </is>
      </c>
      <c r="B2" t="inlineStr">
        <is>
          <t>Northstar Materials</t>
        </is>
      </c>
      <c r="C2" t="inlineStr">
        <is>
          <t>Inventory</t>
        </is>
      </c>
      <c r="D2" t="inlineStr">
        <is>
          <t>2026-01-09</t>
        </is>
      </c>
      <c r="E2" t="inlineStr">
        <is>
          <t>210000</t>
        </is>
      </c>
      <c r="F2" t="inlineStr">
        <is>
          <t>Planned</t>
        </is>
      </c>
    </row>
    <row r="3">
      <c r="A3" t="inlineStr">
        <is>
          <t>PAY-2002</t>
        </is>
      </c>
      <c r="B3" t="inlineStr">
        <is>
          <t>OfficeHub</t>
        </is>
      </c>
      <c r="C3" t="inlineStr">
        <is>
          <t>Operating Expense</t>
        </is>
      </c>
      <c r="D3" t="inlineStr">
        <is>
          <t>2026-01-16</t>
        </is>
      </c>
      <c r="E3" t="inlineStr">
        <is>
          <t>65000</t>
        </is>
      </c>
      <c r="F3" t="inlineStr">
        <is>
          <t>Planned</t>
        </is>
      </c>
    </row>
    <row r="4">
      <c r="A4" t="inlineStr">
        <is>
          <t>PAY-2003</t>
        </is>
      </c>
      <c r="B4" t="inlineStr">
        <is>
          <t>LogiMove</t>
        </is>
      </c>
      <c r="C4" t="inlineStr">
        <is>
          <t>Distribution</t>
        </is>
      </c>
      <c r="D4" t="inlineStr">
        <is>
          <t>2026-01-23</t>
        </is>
      </c>
      <c r="E4" t="inlineStr">
        <is>
          <t>125000</t>
        </is>
      </c>
      <c r="F4" t="inlineStr">
        <is>
          <t>Planned</t>
        </is>
      </c>
    </row>
    <row r="5">
      <c r="A5" t="inlineStr">
        <is>
          <t>PAY-2004</t>
        </is>
      </c>
      <c r="B5" t="inlineStr">
        <is>
          <t>Northstar Materials</t>
        </is>
      </c>
      <c r="C5" t="inlineStr">
        <is>
          <t>Inventory</t>
        </is>
      </c>
      <c r="D5" t="inlineStr">
        <is>
          <t>2026-02-06</t>
        </is>
      </c>
      <c r="E5" t="inlineStr">
        <is>
          <t>185000</t>
        </is>
      </c>
      <c r="F5" t="inlineStr">
        <is>
          <t>Planned</t>
        </is>
      </c>
    </row>
    <row r="6">
      <c r="A6" t="inlineStr">
        <is>
          <t>PAY-2005</t>
        </is>
      </c>
      <c r="B6" t="inlineStr">
        <is>
          <t>CloudServe</t>
        </is>
      </c>
      <c r="C6" t="inlineStr">
        <is>
          <t>Operating Expense</t>
        </is>
      </c>
      <c r="D6" t="inlineStr">
        <is>
          <t>2026-02-13</t>
        </is>
      </c>
      <c r="E6" t="inlineStr">
        <is>
          <t>55000</t>
        </is>
      </c>
      <c r="F6" t="inlineStr">
        <is>
          <t>Planned</t>
        </is>
      </c>
    </row>
    <row r="7">
      <c r="A7" t="inlineStr">
        <is>
          <t>PAY-2006</t>
        </is>
      </c>
      <c r="B7" t="inlineStr">
        <is>
          <t>LogiMove</t>
        </is>
      </c>
      <c r="C7" t="inlineStr">
        <is>
          <t>Distribution</t>
        </is>
      </c>
      <c r="D7" t="inlineStr">
        <is>
          <t>2026-02-20</t>
        </is>
      </c>
      <c r="E7" t="inlineStr">
        <is>
          <t>140000</t>
        </is>
      </c>
      <c r="F7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2" customWidth="1" min="4" max="4"/>
    <col width="8" customWidth="1" min="5" max="5"/>
    <col width="28" customWidth="1" min="6" max="6"/>
  </cols>
  <sheetData>
    <row r="1">
      <c r="A1" s="4" t="inlineStr">
        <is>
          <t>cash_flow_id</t>
        </is>
      </c>
      <c r="B1" s="4" t="inlineStr">
        <is>
          <t>flow_type</t>
        </is>
      </c>
      <c r="C1" s="4" t="inlineStr">
        <is>
          <t>category</t>
        </is>
      </c>
      <c r="D1" s="4" t="inlineStr">
        <is>
          <t>flow_date</t>
        </is>
      </c>
      <c r="E1" s="4" t="inlineStr">
        <is>
          <t>amount</t>
        </is>
      </c>
      <c r="F1" s="4" t="inlineStr">
        <is>
          <t>description</t>
        </is>
      </c>
    </row>
    <row r="2">
      <c r="A2" t="inlineStr">
        <is>
          <t>CF-0001</t>
        </is>
      </c>
      <c r="B2" t="inlineStr">
        <is>
          <t>Receipt</t>
        </is>
      </c>
      <c r="C2" t="inlineStr">
        <is>
          <t>Other Receipts</t>
        </is>
      </c>
      <c r="D2" t="inlineStr">
        <is>
          <t>2026-01-05</t>
        </is>
      </c>
      <c r="E2" t="inlineStr">
        <is>
          <t>120000</t>
        </is>
      </c>
      <c r="F2" t="inlineStr">
        <is>
          <t>Opening-week miscellaneous receipts</t>
        </is>
      </c>
    </row>
    <row r="3">
      <c r="A3" t="inlineStr">
        <is>
          <t>CF-0002</t>
        </is>
      </c>
      <c r="B3" t="inlineStr">
        <is>
          <t>Payment</t>
        </is>
      </c>
      <c r="C3" t="inlineStr">
        <is>
          <t>Operating Expense</t>
        </is>
      </c>
      <c r="D3" t="inlineStr">
        <is>
          <t>2026-01-05</t>
        </is>
      </c>
      <c r="E3" t="inlineStr">
        <is>
          <t>90000</t>
        </is>
      </c>
      <c r="F3" t="inlineStr">
        <is>
          <t>Opening-week operating expense</t>
        </is>
      </c>
    </row>
    <row r="4">
      <c r="A4" t="inlineStr">
        <is>
          <t>CF-0003</t>
        </is>
      </c>
      <c r="B4" t="inlineStr">
        <is>
          <t>Payment</t>
        </is>
      </c>
      <c r="C4" t="inlineStr">
        <is>
          <t>Payroll</t>
        </is>
      </c>
      <c r="D4" t="inlineStr">
        <is>
          <t>2026-01-30</t>
        </is>
      </c>
      <c r="E4" t="inlineStr">
        <is>
          <t>320000</t>
        </is>
      </c>
      <c r="F4" t="inlineStr">
        <is>
          <t>Monthly payroll</t>
        </is>
      </c>
    </row>
    <row r="5">
      <c r="A5" t="inlineStr">
        <is>
          <t>CF-0004</t>
        </is>
      </c>
      <c r="B5" t="inlineStr">
        <is>
          <t>Payment</t>
        </is>
      </c>
      <c r="C5" t="inlineStr">
        <is>
          <t>Tax</t>
        </is>
      </c>
      <c r="D5" t="inlineStr">
        <is>
          <t>2026-02-10</t>
        </is>
      </c>
      <c r="E5" t="inlineStr">
        <is>
          <t>110000</t>
        </is>
      </c>
      <c r="F5" t="inlineStr">
        <is>
          <t>Advance tax payment</t>
        </is>
      </c>
    </row>
    <row r="6">
      <c r="A6" t="inlineStr">
        <is>
          <t>CF-0005</t>
        </is>
      </c>
      <c r="B6" t="inlineStr">
        <is>
          <t>Receipt</t>
        </is>
      </c>
      <c r="C6" t="inlineStr">
        <is>
          <t>Other Receipts</t>
        </is>
      </c>
      <c r="D6" t="inlineStr">
        <is>
          <t>2026-02-27</t>
        </is>
      </c>
      <c r="E6" t="inlineStr">
        <is>
          <t>80000</t>
        </is>
      </c>
      <c r="F6" t="inlineStr">
        <is>
          <t>Insurance reimbursement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4" t="inlineStr">
        <is>
          <t>config_key</t>
        </is>
      </c>
      <c r="B1" s="4" t="inlineStr">
        <is>
          <t>config_value</t>
        </is>
      </c>
    </row>
    <row r="2">
      <c r="A2" t="inlineStr">
        <is>
          <t>company_name</t>
        </is>
      </c>
      <c r="B2" t="inlineStr">
        <is>
          <t>Pragati Distribution Pvt Ltd</t>
        </is>
      </c>
    </row>
    <row r="3">
      <c r="A3" t="inlineStr">
        <is>
          <t>as_of_date</t>
        </is>
      </c>
      <c r="B3" t="inlineStr">
        <is>
          <t>2026-01-05</t>
        </is>
      </c>
    </row>
    <row r="4">
      <c r="A4" t="inlineStr">
        <is>
          <t>horizon_weeks</t>
        </is>
      </c>
      <c r="B4" t="inlineStr">
        <is>
          <t>13</t>
        </is>
      </c>
    </row>
    <row r="5">
      <c r="A5" t="inlineStr">
        <is>
          <t>minimum_cash_threshold</t>
        </is>
      </c>
      <c r="B5" t="inlineStr">
        <is>
          <t>1000000</t>
        </is>
      </c>
    </row>
    <row r="6">
      <c r="A6" t="inlineStr">
        <is>
          <t>stress_delay_days</t>
        </is>
      </c>
      <c r="B6" t="inlineStr">
        <is>
          <t>20</t>
        </is>
      </c>
    </row>
    <row r="7">
      <c r="A7" t="inlineStr">
        <is>
          <t>currency</t>
        </is>
      </c>
      <c r="B7" t="inlineStr">
        <is>
          <t>INR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4" t="inlineStr">
        <is>
          <t>as_of_date</t>
        </is>
      </c>
      <c r="B1" s="4" t="inlineStr">
        <is>
          <t>opening_cash</t>
        </is>
      </c>
    </row>
    <row r="2">
      <c r="A2" t="inlineStr">
        <is>
          <t>2026-01-05</t>
        </is>
      </c>
      <c r="B2" t="inlineStr">
        <is>
          <t>1850000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7" customWidth="1" min="4" max="4"/>
    <col width="22" customWidth="1" min="5" max="5"/>
    <col width="24" customWidth="1" min="6" max="6"/>
  </cols>
  <sheetData>
    <row r="1">
      <c r="A1" s="4" t="inlineStr">
        <is>
          <t>Week Start</t>
        </is>
      </c>
      <c r="B1" s="4" t="inlineStr">
        <is>
          <t>Base Closing Cash</t>
        </is>
      </c>
      <c r="C1" s="4" t="inlineStr">
        <is>
          <t>Stress Closing Cash</t>
        </is>
      </c>
      <c r="D1" s="4" t="inlineStr">
        <is>
          <t>Stress Cash Gap</t>
        </is>
      </c>
      <c r="E1" s="4" t="inlineStr">
        <is>
          <t>Base Alert</t>
        </is>
      </c>
      <c r="F1" s="4" t="inlineStr">
        <is>
          <t>Stress Alert</t>
        </is>
      </c>
    </row>
    <row r="2">
      <c r="A2" t="inlineStr">
        <is>
          <t>2026-01-05</t>
        </is>
      </c>
      <c r="B2" s="5">
        <f>'Base Forecast'!F2</f>
        <v/>
      </c>
      <c r="C2" s="5">
        <f>'Stress Forecast'!F2</f>
        <v/>
      </c>
      <c r="D2" s="5">
        <f>B2-C2</f>
        <v/>
      </c>
      <c r="E2" s="5">
        <f>'Base Forecast'!G2</f>
        <v/>
      </c>
      <c r="F2" s="5">
        <f>'Stress Forecast'!G2</f>
        <v/>
      </c>
    </row>
    <row r="3">
      <c r="A3" t="inlineStr">
        <is>
          <t>2026-01-12</t>
        </is>
      </c>
      <c r="B3" s="5">
        <f>'Base Forecast'!F3</f>
        <v/>
      </c>
      <c r="C3" s="5">
        <f>'Stress Forecast'!F3</f>
        <v/>
      </c>
      <c r="D3" s="5">
        <f>B3-C3</f>
        <v/>
      </c>
      <c r="E3" s="5">
        <f>'Base Forecast'!G3</f>
        <v/>
      </c>
      <c r="F3" s="5">
        <f>'Stress Forecast'!G3</f>
        <v/>
      </c>
    </row>
    <row r="4">
      <c r="A4" t="inlineStr">
        <is>
          <t>2026-01-19</t>
        </is>
      </c>
      <c r="B4" s="5">
        <f>'Base Forecast'!F4</f>
        <v/>
      </c>
      <c r="C4" s="5">
        <f>'Stress Forecast'!F4</f>
        <v/>
      </c>
      <c r="D4" s="5">
        <f>B4-C4</f>
        <v/>
      </c>
      <c r="E4" s="5">
        <f>'Base Forecast'!G4</f>
        <v/>
      </c>
      <c r="F4" s="5">
        <f>'Stress Forecast'!G4</f>
        <v/>
      </c>
    </row>
    <row r="5">
      <c r="A5" t="inlineStr">
        <is>
          <t>2026-01-26</t>
        </is>
      </c>
      <c r="B5" s="5">
        <f>'Base Forecast'!F5</f>
        <v/>
      </c>
      <c r="C5" s="5">
        <f>'Stress Forecast'!F5</f>
        <v/>
      </c>
      <c r="D5" s="5">
        <f>B5-C5</f>
        <v/>
      </c>
      <c r="E5" s="5">
        <f>'Base Forecast'!G5</f>
        <v/>
      </c>
      <c r="F5" s="5">
        <f>'Stress Forecast'!G5</f>
        <v/>
      </c>
    </row>
    <row r="6">
      <c r="A6" t="inlineStr">
        <is>
          <t>2026-02-02</t>
        </is>
      </c>
      <c r="B6" s="5">
        <f>'Base Forecast'!F6</f>
        <v/>
      </c>
      <c r="C6" s="5">
        <f>'Stress Forecast'!F6</f>
        <v/>
      </c>
      <c r="D6" s="5">
        <f>B6-C6</f>
        <v/>
      </c>
      <c r="E6" s="5">
        <f>'Base Forecast'!G6</f>
        <v/>
      </c>
      <c r="F6" s="5">
        <f>'Stress Forecast'!G6</f>
        <v/>
      </c>
    </row>
    <row r="7">
      <c r="A7" t="inlineStr">
        <is>
          <t>2026-02-09</t>
        </is>
      </c>
      <c r="B7" s="5">
        <f>'Base Forecast'!F7</f>
        <v/>
      </c>
      <c r="C7" s="5">
        <f>'Stress Forecast'!F7</f>
        <v/>
      </c>
      <c r="D7" s="5">
        <f>B7-C7</f>
        <v/>
      </c>
      <c r="E7" s="5">
        <f>'Base Forecast'!G7</f>
        <v/>
      </c>
      <c r="F7" s="5">
        <f>'Stress Forecast'!G7</f>
        <v/>
      </c>
    </row>
    <row r="8">
      <c r="A8" t="inlineStr">
        <is>
          <t>2026-02-16</t>
        </is>
      </c>
      <c r="B8" s="5">
        <f>'Base Forecast'!F8</f>
        <v/>
      </c>
      <c r="C8" s="5">
        <f>'Stress Forecast'!F8</f>
        <v/>
      </c>
      <c r="D8" s="5">
        <f>B8-C8</f>
        <v/>
      </c>
      <c r="E8" s="5">
        <f>'Base Forecast'!G8</f>
        <v/>
      </c>
      <c r="F8" s="5">
        <f>'Stress Forecast'!G8</f>
        <v/>
      </c>
    </row>
    <row r="9">
      <c r="A9" t="inlineStr">
        <is>
          <t>2026-02-23</t>
        </is>
      </c>
      <c r="B9" s="5">
        <f>'Base Forecast'!F9</f>
        <v/>
      </c>
      <c r="C9" s="5">
        <f>'Stress Forecast'!F9</f>
        <v/>
      </c>
      <c r="D9" s="5">
        <f>B9-C9</f>
        <v/>
      </c>
      <c r="E9" s="5">
        <f>'Base Forecast'!G9</f>
        <v/>
      </c>
      <c r="F9" s="5">
        <f>'Stress Forecast'!G9</f>
        <v/>
      </c>
    </row>
    <row r="10">
      <c r="A10" t="inlineStr">
        <is>
          <t>2026-03-02</t>
        </is>
      </c>
      <c r="B10" s="5">
        <f>'Base Forecast'!F10</f>
        <v/>
      </c>
      <c r="C10" s="5">
        <f>'Stress Forecast'!F10</f>
        <v/>
      </c>
      <c r="D10" s="5">
        <f>B10-C10</f>
        <v/>
      </c>
      <c r="E10" s="5">
        <f>'Base Forecast'!G10</f>
        <v/>
      </c>
      <c r="F10" s="5">
        <f>'Stress Forecast'!G10</f>
        <v/>
      </c>
    </row>
    <row r="11">
      <c r="A11" t="inlineStr">
        <is>
          <t>2026-03-09</t>
        </is>
      </c>
      <c r="B11" s="5">
        <f>'Base Forecast'!F11</f>
        <v/>
      </c>
      <c r="C11" s="5">
        <f>'Stress Forecast'!F11</f>
        <v/>
      </c>
      <c r="D11" s="5">
        <f>B11-C11</f>
        <v/>
      </c>
      <c r="E11" s="5">
        <f>'Base Forecast'!G11</f>
        <v/>
      </c>
      <c r="F11" s="5">
        <f>'Stress Forecast'!G11</f>
        <v/>
      </c>
    </row>
    <row r="12">
      <c r="A12" t="inlineStr">
        <is>
          <t>2026-03-16</t>
        </is>
      </c>
      <c r="B12" s="5">
        <f>'Base Forecast'!F12</f>
        <v/>
      </c>
      <c r="C12" s="5">
        <f>'Stress Forecast'!F12</f>
        <v/>
      </c>
      <c r="D12" s="5">
        <f>B12-C12</f>
        <v/>
      </c>
      <c r="E12" s="5">
        <f>'Base Forecast'!G12</f>
        <v/>
      </c>
      <c r="F12" s="5">
        <f>'Stress Forecast'!G12</f>
        <v/>
      </c>
    </row>
    <row r="13">
      <c r="A13" t="inlineStr">
        <is>
          <t>2026-03-23</t>
        </is>
      </c>
      <c r="B13" s="5">
        <f>'Base Forecast'!F13</f>
        <v/>
      </c>
      <c r="C13" s="5">
        <f>'Stress Forecast'!F13</f>
        <v/>
      </c>
      <c r="D13" s="5">
        <f>B13-C13</f>
        <v/>
      </c>
      <c r="E13" s="5">
        <f>'Base Forecast'!G13</f>
        <v/>
      </c>
      <c r="F13" s="5">
        <f>'Stress Forecast'!G13</f>
        <v/>
      </c>
    </row>
    <row r="14">
      <c r="A14" t="inlineStr">
        <is>
          <t>2026-03-30</t>
        </is>
      </c>
      <c r="B14" s="5">
        <f>'Base Forecast'!F14</f>
        <v/>
      </c>
      <c r="C14" s="5">
        <f>'Stress Forecast'!F14</f>
        <v/>
      </c>
      <c r="D14" s="5">
        <f>B14-C14</f>
        <v/>
      </c>
      <c r="E14" s="5">
        <f>'Base Forecast'!G14</f>
        <v/>
      </c>
      <c r="F14" s="5">
        <f>'Stress Forecast'!G14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4" t="inlineStr">
        <is>
          <t>week_start</t>
        </is>
      </c>
      <c r="B1" s="4" t="inlineStr">
        <is>
          <t>customer_receipts</t>
        </is>
      </c>
    </row>
    <row r="2">
      <c r="A2" t="inlineStr">
        <is>
          <t>2026-01-05</t>
        </is>
      </c>
      <c r="B2" t="inlineStr">
        <is>
          <t>635000.0</t>
        </is>
      </c>
    </row>
    <row r="3">
      <c r="A3" t="inlineStr">
        <is>
          <t>2026-01-12</t>
        </is>
      </c>
      <c r="B3" t="inlineStr">
        <is>
          <t>275000.0</t>
        </is>
      </c>
    </row>
    <row r="4">
      <c r="A4" t="inlineStr">
        <is>
          <t>2026-01-19</t>
        </is>
      </c>
      <c r="B4" t="inlineStr">
        <is>
          <t>180000.0</t>
        </is>
      </c>
    </row>
    <row r="5">
      <c r="A5" t="inlineStr">
        <is>
          <t>2026-01-26</t>
        </is>
      </c>
      <c r="B5" t="inlineStr">
        <is>
          <t>0</t>
        </is>
      </c>
    </row>
    <row r="6">
      <c r="A6" t="inlineStr">
        <is>
          <t>2026-02-02</t>
        </is>
      </c>
      <c r="B6" t="inlineStr">
        <is>
          <t>360000.0</t>
        </is>
      </c>
    </row>
    <row r="7">
      <c r="A7" t="inlineStr">
        <is>
          <t>2026-02-09</t>
        </is>
      </c>
      <c r="B7" t="inlineStr">
        <is>
          <t>225000.0</t>
        </is>
      </c>
    </row>
    <row r="8">
      <c r="A8" t="inlineStr">
        <is>
          <t>2026-02-16</t>
        </is>
      </c>
      <c r="B8" t="inlineStr">
        <is>
          <t>310000.0</t>
        </is>
      </c>
    </row>
    <row r="9">
      <c r="A9" t="inlineStr">
        <is>
          <t>2026-02-23</t>
        </is>
      </c>
      <c r="B9" t="inlineStr">
        <is>
          <t>80000.0</t>
        </is>
      </c>
    </row>
    <row r="10">
      <c r="A10" t="inlineStr">
        <is>
          <t>2026-03-02</t>
        </is>
      </c>
      <c r="B10" t="inlineStr">
        <is>
          <t>190000.0</t>
        </is>
      </c>
    </row>
    <row r="11">
      <c r="A11" t="inlineStr">
        <is>
          <t>2026-03-09</t>
        </is>
      </c>
      <c r="B11" t="inlineStr">
        <is>
          <t>145000.0</t>
        </is>
      </c>
    </row>
    <row r="12">
      <c r="A12" t="inlineStr">
        <is>
          <t>2026-03-16</t>
        </is>
      </c>
      <c r="B12" t="inlineStr">
        <is>
          <t>0</t>
        </is>
      </c>
    </row>
    <row r="13">
      <c r="A13" t="inlineStr">
        <is>
          <t>2026-03-23</t>
        </is>
      </c>
      <c r="B13" t="inlineStr">
        <is>
          <t>0</t>
        </is>
      </c>
    </row>
    <row r="14">
      <c r="A14" t="inlineStr">
        <is>
          <t>2026-03-30</t>
        </is>
      </c>
      <c r="B14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4" t="inlineStr">
        <is>
          <t>week_start</t>
        </is>
      </c>
      <c r="B1" s="4" t="inlineStr">
        <is>
          <t>supplier_and_other_payments</t>
        </is>
      </c>
    </row>
    <row r="2">
      <c r="A2" t="inlineStr">
        <is>
          <t>2026-01-05</t>
        </is>
      </c>
      <c r="B2" t="inlineStr">
        <is>
          <t>300000.0</t>
        </is>
      </c>
    </row>
    <row r="3">
      <c r="A3" t="inlineStr">
        <is>
          <t>2026-01-12</t>
        </is>
      </c>
      <c r="B3" t="inlineStr">
        <is>
          <t>65000.0</t>
        </is>
      </c>
    </row>
    <row r="4">
      <c r="A4" t="inlineStr">
        <is>
          <t>2026-01-19</t>
        </is>
      </c>
      <c r="B4" t="inlineStr">
        <is>
          <t>125000.0</t>
        </is>
      </c>
    </row>
    <row r="5">
      <c r="A5" t="inlineStr">
        <is>
          <t>2026-01-26</t>
        </is>
      </c>
      <c r="B5" t="inlineStr">
        <is>
          <t>320000.0</t>
        </is>
      </c>
    </row>
    <row r="6">
      <c r="A6" t="inlineStr">
        <is>
          <t>2026-02-02</t>
        </is>
      </c>
      <c r="B6" t="inlineStr">
        <is>
          <t>185000.0</t>
        </is>
      </c>
    </row>
    <row r="7">
      <c r="A7" t="inlineStr">
        <is>
          <t>2026-02-09</t>
        </is>
      </c>
      <c r="B7" t="inlineStr">
        <is>
          <t>165000.0</t>
        </is>
      </c>
    </row>
    <row r="8">
      <c r="A8" t="inlineStr">
        <is>
          <t>2026-02-16</t>
        </is>
      </c>
      <c r="B8" t="inlineStr">
        <is>
          <t>140000.0</t>
        </is>
      </c>
    </row>
    <row r="9">
      <c r="A9" t="inlineStr">
        <is>
          <t>2026-02-23</t>
        </is>
      </c>
      <c r="B9" t="inlineStr">
        <is>
          <t>0</t>
        </is>
      </c>
    </row>
    <row r="10">
      <c r="A10" t="inlineStr">
        <is>
          <t>2026-03-02</t>
        </is>
      </c>
      <c r="B10" t="inlineStr">
        <is>
          <t>0</t>
        </is>
      </c>
    </row>
    <row r="11">
      <c r="A11" t="inlineStr">
        <is>
          <t>2026-03-09</t>
        </is>
      </c>
      <c r="B11" t="inlineStr">
        <is>
          <t>0</t>
        </is>
      </c>
    </row>
    <row r="12">
      <c r="A12" t="inlineStr">
        <is>
          <t>2026-03-16</t>
        </is>
      </c>
      <c r="B12" t="inlineStr">
        <is>
          <t>0</t>
        </is>
      </c>
    </row>
    <row r="13">
      <c r="A13" t="inlineStr">
        <is>
          <t>2026-03-23</t>
        </is>
      </c>
      <c r="B13" t="inlineStr">
        <is>
          <t>0</t>
        </is>
      </c>
    </row>
    <row r="14">
      <c r="A14" t="inlineStr">
        <is>
          <t>2026-03-30</t>
        </is>
      </c>
      <c r="B14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Base forecast weeks</t>
        </is>
      </c>
      <c r="B2" s="5" t="n">
        <v>13</v>
      </c>
    </row>
    <row r="3">
      <c r="A3" t="inlineStr">
        <is>
          <t>Stress forecast weeks</t>
        </is>
      </c>
      <c r="B3" s="5" t="n">
        <v>13</v>
      </c>
    </row>
    <row r="4">
      <c r="A4" t="inlineStr">
        <is>
          <t>Scenario week counts match</t>
        </is>
      </c>
      <c r="B4" t="inlineStr">
        <is>
          <t>PASS</t>
        </is>
      </c>
    </row>
    <row r="5">
      <c r="A5" t="inlineStr">
        <is>
          <t>Base closing cash values present</t>
        </is>
      </c>
      <c r="B5" t="inlineStr">
        <is>
          <t>PASS</t>
        </is>
      </c>
    </row>
    <row r="6">
      <c r="A6" t="inlineStr">
        <is>
          <t>Stress closing cash values present</t>
        </is>
      </c>
      <c r="B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2026-10-17T02:27:33Z</dcterms:created>
  <dcterms:modified xmlns:dcterms="http://purl.org/dc/terms/" xmlns:xsi="http://www.w3.org/2001/XMLSchema-instance" xsi:type="dcterms:W3CDTF">2026-10-17T02:27:33Z</dcterms:modified>
</cp:coreProperties>
</file>